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upuesto" sheetId="1" state="visible" r:id="rId3"/>
    <sheet name="Memoria de cálculo" sheetId="2" state="visible" r:id="rId4"/>
    <sheet name="Comparación cableado" sheetId="3" state="visible" r:id="rId5"/>
  </sheets>
  <definedNames>
    <definedName function="false" hidden="false" localSheetId="0" name="_xlnm.Print_Titles" vbProcedure="false">Presupuesto!$5:$5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<sst xmlns="http://schemas.openxmlformats.org/spreadsheetml/2006/main" count="338" uniqueCount="243">
  <si>
    <t xml:space="preserve">PRESUPUESTO DE IMPLEMENTACIÓN — INFRAESTRUCTURA DE RED</t>
  </si>
  <si>
    <t xml:space="preserve">Edificio corporativo de 5 pisos · 400 usuarios · Taller 1 Infraestructura TI (NRC 8485)</t>
  </si>
  <si>
    <t xml:space="preserve">Valores en pesos chilenos (CLP), netos sin IVA salvo indicación · Referencia de tipo de cambio: USD 1 = $925,65 (dólar observado, 09-09-2026)</t>
  </si>
  <si>
    <t xml:space="preserve">Ítem</t>
  </si>
  <si>
    <t xml:space="preserve">Descripción</t>
  </si>
  <si>
    <t xml:space="preserve">Unidad</t>
  </si>
  <si>
    <t xml:space="preserve">Cantidad</t>
  </si>
  <si>
    <t xml:space="preserve">Valor unitario (CLP)</t>
  </si>
  <si>
    <t xml:space="preserve">Costo total (CLP)</t>
  </si>
  <si>
    <t xml:space="preserve">Referencia de precio</t>
  </si>
  <si>
    <t xml:space="preserve">1. CABLEADO HORIZONTAL</t>
  </si>
  <si>
    <t xml:space="preserve">Cable U/FTP Cat 6A LSZH, caja de 305 m</t>
  </si>
  <si>
    <t xml:space="preserve">caja</t>
  </si>
  <si>
    <t xml:space="preserve">Metacom (ref. web)</t>
  </si>
  <si>
    <t xml:space="preserve">Módulo/jack RJ45 Cat 6A blindado (área de trabajo)</t>
  </si>
  <si>
    <t xml:space="preserve">un</t>
  </si>
  <si>
    <t xml:space="preserve">Módulo/jack RJ45 Cat 6A blindado (patch panel)</t>
  </si>
  <si>
    <t xml:space="preserve">Patch panel modular 1U de 24 p Cat 6A blindado</t>
  </si>
  <si>
    <t xml:space="preserve">Faceplate doble con caja sobrepuesta 4×2</t>
  </si>
  <si>
    <t xml:space="preserve">Estimacion mercado local</t>
  </si>
  <si>
    <t xml:space="preserve">Patch cord Cat 6A de 2 m (rack)</t>
  </si>
  <si>
    <t xml:space="preserve">Patch cord Cat 6A de 3 m (puesto de trabajo)</t>
  </si>
  <si>
    <t xml:space="preserve">Organizador horizontal 2U con tapa</t>
  </si>
  <si>
    <t xml:space="preserve">Subtotal — Cableado horizontal</t>
  </si>
  <si>
    <t xml:space="preserve">2. BACKBONE DE FIBRA ÓPTICA</t>
  </si>
  <si>
    <t xml:space="preserve">Cable de fibra óptica multimodo OM4, 12 hilos, LSZH riser</t>
  </si>
  <si>
    <t xml:space="preserve">m</t>
  </si>
  <si>
    <t xml:space="preserve">Ref. USD 2,61/m</t>
  </si>
  <si>
    <t xml:space="preserve">Bandeja ODF 1U, 24 puertos LC dúplex</t>
  </si>
  <si>
    <t xml:space="preserve">Pigtail LC/UPC OM4 + fusión certificada</t>
  </si>
  <si>
    <t xml:space="preserve">Patch cord de fibra LC-LC OM4, 3 m</t>
  </si>
  <si>
    <t xml:space="preserve">Transceiver SFP+ 10GBASE-SR (multimodo)</t>
  </si>
  <si>
    <t xml:space="preserve">Subtotal — Backbone de fibra óptica</t>
  </si>
  <si>
    <t xml:space="preserve">3. ESPACIOS, RACKS Y ENERGÍA</t>
  </si>
  <si>
    <t xml:space="preserve">Gabinete rack 42U de 600×800 mm con puertas ventiladas</t>
  </si>
  <si>
    <t xml:space="preserve">PDU rack 19'' de 8 tomas con protección</t>
  </si>
  <si>
    <t xml:space="preserve">UPS online 3 kVA formato rack (TR de piso)</t>
  </si>
  <si>
    <t xml:space="preserve">UPS online 10 kVA (SER del piso 1)</t>
  </si>
  <si>
    <t xml:space="preserve">Climatización split 12.000 BTU inverter (TR/SER)</t>
  </si>
  <si>
    <t xml:space="preserve">Kit de puesta a tierra TGB/TMGB (J-STD-607-E)</t>
  </si>
  <si>
    <t xml:space="preserve">gl</t>
  </si>
  <si>
    <t xml:space="preserve">Habilitación de cuarto de telecomunicaciones (obra civil, puerta, piso técnico)</t>
  </si>
  <si>
    <t xml:space="preserve">Subtotal — Espacios, racks y energía</t>
  </si>
  <si>
    <t xml:space="preserve">4. ELECTRÓNICA DE RED</t>
  </si>
  <si>
    <t xml:space="preserve">Switch de acceso 48 p GbE PoE+ 600 W, 2×10GBASE-T + 2×SFP+ (L2+, apilable)</t>
  </si>
  <si>
    <t xml:space="preserve">Ref. HPE Instant On 1960 JL809A</t>
  </si>
  <si>
    <t xml:space="preserve">Switch core L3, 24 p SFP+ 10G (alta disponibilidad)</t>
  </si>
  <si>
    <t xml:space="preserve">Ref. HPE Aruba CX 6300M</t>
  </si>
  <si>
    <t xml:space="preserve">Firewall NGFW perimetral con IPS/AV/filtrado web (par en alta disponibilidad)</t>
  </si>
  <si>
    <t xml:space="preserve">Ref. FortiGate 200G / equivalente</t>
  </si>
  <si>
    <t xml:space="preserve">Router de borde con balanceo de doble ISP</t>
  </si>
  <si>
    <t xml:space="preserve">Servidor RADIUS/NAC y controlador (licencia 3 años)</t>
  </si>
  <si>
    <t xml:space="preserve">Subtotal — Electrónica de red</t>
  </si>
  <si>
    <t xml:space="preserve">5. RED INALÁMBRICA</t>
  </si>
  <si>
    <t xml:space="preserve">Access Point WiFi 6 (802.11ax) 4×4, uplink 2,5 GbE, PoE+</t>
  </si>
  <si>
    <t xml:space="preserve">Tecnoshopping (ref. web, Aruba AP25)</t>
  </si>
  <si>
    <t xml:space="preserve">Kit de montaje en cielo falso con soporte antihurto</t>
  </si>
  <si>
    <t xml:space="preserve">Licencia de gestión cloud WiFi (3 años por AP)</t>
  </si>
  <si>
    <t xml:space="preserve">Site survey predictivo y validación posinstalación</t>
  </si>
  <si>
    <t xml:space="preserve">Subtotal — Red inalámbrica</t>
  </si>
  <si>
    <t xml:space="preserve">6. CANALIZACIONES</t>
  </si>
  <si>
    <t xml:space="preserve">Bandeja portacables tipo escalerilla 300 mm galvanizada</t>
  </si>
  <si>
    <t xml:space="preserve">Ducto EMT 3/4'' con accesorios (bajadas a puestos)</t>
  </si>
  <si>
    <t xml:space="preserve">Canaleta plástica 60×40 mm con tapa (perimetral)</t>
  </si>
  <si>
    <t xml:space="preserve">Escalerilla vertical del shaft de backbone con sello cortafuego</t>
  </si>
  <si>
    <t xml:space="preserve">Soportes, colgadores, abrazaderas y ferretería menor</t>
  </si>
  <si>
    <t xml:space="preserve">Subtotal — Canalizaciones</t>
  </si>
  <si>
    <t xml:space="preserve">7. SERVICIOS E INGENIERÍA</t>
  </si>
  <si>
    <t xml:space="preserve">Instalación y terminación de salidas de cableado horizontal</t>
  </si>
  <si>
    <t xml:space="preserve">Certificación Cat 6A (permanent link y canal) con equipo de campo</t>
  </si>
  <si>
    <t xml:space="preserve">Tendido y fusión del backbone de fibra + certificación OTDR</t>
  </si>
  <si>
    <t xml:space="preserve">Configuración de switching, VLAN, 802.1X, QoS y core</t>
  </si>
  <si>
    <t xml:space="preserve">Configuración de firewall, segmentación y VPN</t>
  </si>
  <si>
    <t xml:space="preserve">Etiquetado y documentación ANSI/TIA-606-D (planos as-built)</t>
  </si>
  <si>
    <t xml:space="preserve">Dirección de proyecto y puesta en marcha</t>
  </si>
  <si>
    <t xml:space="preserve">Subtotal — Servicios e ingeniería</t>
  </si>
  <si>
    <t xml:space="preserve">COSTO DIRECTO DEL PROYECTO</t>
  </si>
  <si>
    <t xml:space="preserve">Contingencia e imprevistos (5 %)</t>
  </si>
  <si>
    <t xml:space="preserve">Porcentaje aplicado sobre el costo directo</t>
  </si>
  <si>
    <t xml:space="preserve">TOTAL NETO</t>
  </si>
  <si>
    <t xml:space="preserve">IVA (19 %)</t>
  </si>
  <si>
    <t xml:space="preserve">Impuesto al valor agregado vigente en Chile</t>
  </si>
  <si>
    <t xml:space="preserve">INVERSIÓN TOTAL DEL PROYECTO</t>
  </si>
  <si>
    <t xml:space="preserve">INDICADORES DEL PROYECTO</t>
  </si>
  <si>
    <t xml:space="preserve">Costo por usuario</t>
  </si>
  <si>
    <t xml:space="preserve">Costo por salida de telecomunicaciones</t>
  </si>
  <si>
    <t xml:space="preserve">Inversión total equivalente en USD</t>
  </si>
  <si>
    <t xml:space="preserve">Parámetros del cálculo — celdas editables destacadas en amarillo</t>
  </si>
  <si>
    <t xml:space="preserve">Usuarios totales del edificio</t>
  </si>
  <si>
    <t xml:space="preserve">Salidas de telecomunicaciones totales</t>
  </si>
  <si>
    <t xml:space="preserve">Tipo de cambio USD/CLP (dólar observado 09-09-2026)</t>
  </si>
  <si>
    <t xml:space="preserve">MEMORIA DE CÁLCULO DEL DIMENSIONAMIENTO</t>
  </si>
  <si>
    <t xml:space="preserve">1. Salidas de telecomunicaciones por piso</t>
  </si>
  <si>
    <t xml:space="preserve">Concepto</t>
  </si>
  <si>
    <t xml:space="preserve">Valor</t>
  </si>
  <si>
    <t xml:space="preserve">Criterio / norma</t>
  </si>
  <si>
    <t xml:space="preserve">Área de trabajo NO — 20 puestos × 2 salidas</t>
  </si>
  <si>
    <t xml:space="preserve">ANSI/TIA-568.1-D: mínimo 2 salidas por área de trabajo</t>
  </si>
  <si>
    <t xml:space="preserve">Área de trabajo NE — 20 puestos × 2 salidas</t>
  </si>
  <si>
    <t xml:space="preserve">ANSI/TIA-568.1-D</t>
  </si>
  <si>
    <t xml:space="preserve">Área de trabajo Sur — 12 puestos × 2 salidas</t>
  </si>
  <si>
    <t xml:space="preserve">Oficinas 1 a 4 — 16 puestos × 2 salidas</t>
  </si>
  <si>
    <t xml:space="preserve">Oficina gerencia — 1 puesto × 2 salidas</t>
  </si>
  <si>
    <t xml:space="preserve">Salas de reuniones 1 y 2 — posiciones flexibles y videoconferencia</t>
  </si>
  <si>
    <t xml:space="preserve">Posiciones flexibles para completar los 80 usuarios declarados</t>
  </si>
  <si>
    <t xml:space="preserve">Lounge / área colaborativa — 3 posiciones × 2 salidas</t>
  </si>
  <si>
    <t xml:space="preserve">Posiciones flexibles</t>
  </si>
  <si>
    <t xml:space="preserve">Kitchenette / comedor, incluye impresora multifuncional</t>
  </si>
  <si>
    <t xml:space="preserve">Servicios compartidos</t>
  </si>
  <si>
    <t xml:space="preserve">Access Points WiFi</t>
  </si>
  <si>
    <t xml:space="preserve">1 salida por AP; ver bloque 3</t>
  </si>
  <si>
    <t xml:space="preserve">Cámaras IP (CCTV)</t>
  </si>
  <si>
    <t xml:space="preserve">Seguridad física perimetral del piso</t>
  </si>
  <si>
    <t xml:space="preserve">Control de acceso y reloj de asistencia</t>
  </si>
  <si>
    <t xml:space="preserve">Sistemas del edificio</t>
  </si>
  <si>
    <t xml:space="preserve">Subtotal de salidas en uso</t>
  </si>
  <si>
    <t xml:space="preserve">Suma de los ítems anteriores</t>
  </si>
  <si>
    <t xml:space="preserve">Reserva cableada para crecimiento</t>
  </si>
  <si>
    <t xml:space="preserve">9 % sobre las salidas en uso</t>
  </si>
  <si>
    <t xml:space="preserve">TOTAL DE SALIDAS POR PISO</t>
  </si>
  <si>
    <t xml:space="preserve">4 patch panels de 48 puertos</t>
  </si>
  <si>
    <t xml:space="preserve">TOTAL DE SALIDAS DEL EDIFICIO</t>
  </si>
  <si>
    <t xml:space="preserve">192 salidas × 5 pisos</t>
  </si>
  <si>
    <t xml:space="preserve">2. Puertos activos y switches por piso</t>
  </si>
  <si>
    <t xml:space="preserve">Puestos de trabajo con puerto activo (1 por usuario)</t>
  </si>
  <si>
    <t xml:space="preserve">La segunda salida queda cableada como reserva</t>
  </si>
  <si>
    <t xml:space="preserve">Salas de reuniones</t>
  </si>
  <si>
    <t xml:space="preserve">Impresoras multifuncionales</t>
  </si>
  <si>
    <t xml:space="preserve">Access Points (PoE+ 802.3at)</t>
  </si>
  <si>
    <t xml:space="preserve">Cámaras IP (PoE)</t>
  </si>
  <si>
    <t xml:space="preserve">Control de acceso</t>
  </si>
  <si>
    <t xml:space="preserve">Puertos activos requeridos</t>
  </si>
  <si>
    <t xml:space="preserve">Switches de acceso por piso</t>
  </si>
  <si>
    <t xml:space="preserve">Stack de 3 × 48 puertos GbE PoE+</t>
  </si>
  <si>
    <t xml:space="preserve">Puertos disponibles por piso</t>
  </si>
  <si>
    <t xml:space="preserve">3 × 48</t>
  </si>
  <si>
    <t xml:space="preserve">Holgura de crecimiento</t>
  </si>
  <si>
    <t xml:space="preserve">47 %</t>
  </si>
  <si>
    <t xml:space="preserve">(144 − 98) / 98</t>
  </si>
  <si>
    <t xml:space="preserve">3. Dimensionamiento de la red inalámbrica</t>
  </si>
  <si>
    <t xml:space="preserve">Usuarios por piso</t>
  </si>
  <si>
    <t xml:space="preserve">Antecedente del caso</t>
  </si>
  <si>
    <t xml:space="preserve">Dispositivos por usuario</t>
  </si>
  <si>
    <t xml:space="preserve">Notebook + teléfono móvil corporativo</t>
  </si>
  <si>
    <t xml:space="preserve">Clientes concurrentes por piso</t>
  </si>
  <si>
    <t xml:space="preserve">80 × 2,0</t>
  </si>
  <si>
    <t xml:space="preserve">Clientes activos máximos por radio de 5 GHz</t>
  </si>
  <si>
    <t xml:space="preserve">Criterio de diseño de alta densidad</t>
  </si>
  <si>
    <t xml:space="preserve">AP requeridos por capacidad</t>
  </si>
  <si>
    <t xml:space="preserve">160 ÷ 30 = 5,3 → 6</t>
  </si>
  <si>
    <t xml:space="preserve">Superficie útil por piso</t>
  </si>
  <si>
    <t xml:space="preserve">1.000 m²</t>
  </si>
  <si>
    <t xml:space="preserve">Estimada desde el plano de arquitectura</t>
  </si>
  <si>
    <t xml:space="preserve">Superficie de cobertura por celda a −65 dBm</t>
  </si>
  <si>
    <t xml:space="preserve">200 m²</t>
  </si>
  <si>
    <t xml:space="preserve">Radio efectivo ≈ 9,5 m en oficina con tabiquería liviana</t>
  </si>
  <si>
    <t xml:space="preserve">AP requeridos por cobertura</t>
  </si>
  <si>
    <t xml:space="preserve">1.000 ÷ 200</t>
  </si>
  <si>
    <t xml:space="preserve">AP ADOPTADOS POR PISO</t>
  </si>
  <si>
    <t xml:space="preserve">Rige el criterio más exigente (capacidad)</t>
  </si>
  <si>
    <t xml:space="preserve">AP TOTALES DEL EDIFICIO</t>
  </si>
  <si>
    <t xml:space="preserve">6 × 5 pisos</t>
  </si>
  <si>
    <t xml:space="preserve">4. Cableado horizontal y backbone</t>
  </si>
  <si>
    <t xml:space="preserve">Longitud promedio por enlace horizontal</t>
  </si>
  <si>
    <t xml:space="preserve">40 m</t>
  </si>
  <si>
    <t xml:space="preserve">Incluye recorrido en escalerilla, bajada y holgura</t>
  </si>
  <si>
    <t xml:space="preserve">Longitud máxima de canal</t>
  </si>
  <si>
    <t xml:space="preserve">≤ 90 m</t>
  </si>
  <si>
    <t xml:space="preserve">ANSI/TIA-568.2-D: 90 m permanent link + 10 m cordones</t>
  </si>
  <si>
    <t xml:space="preserve">Metros de cable por piso</t>
  </si>
  <si>
    <t xml:space="preserve">7.680 m</t>
  </si>
  <si>
    <t xml:space="preserve">192 salidas × 40 m</t>
  </si>
  <si>
    <t xml:space="preserve">Cajas de 305 m por piso</t>
  </si>
  <si>
    <t xml:space="preserve">7.680 ÷ 305 = 25,2 → 26</t>
  </si>
  <si>
    <t xml:space="preserve">Cajas de 305 m totales</t>
  </si>
  <si>
    <t xml:space="preserve">26 × 5 pisos</t>
  </si>
  <si>
    <t xml:space="preserve">Backbone por piso</t>
  </si>
  <si>
    <t xml:space="preserve">12 hilos OM4</t>
  </si>
  <si>
    <t xml:space="preserve">4 hilos en uso (2 × 10G LAG) + 8 de reserva</t>
  </si>
  <si>
    <t xml:space="preserve">Longitud máxima del backbone</t>
  </si>
  <si>
    <t xml:space="preserve">≈ 45 m</t>
  </si>
  <si>
    <t xml:space="preserve">Muy por debajo del límite de 400 m de OM4 a 10 Gbps</t>
  </si>
  <si>
    <t xml:space="preserve">COMPARACIÓN TÉCNICO-ECONÓMICA DE ALTERNATIVAS DE CABLEADO</t>
  </si>
  <si>
    <t xml:space="preserve">Característica</t>
  </si>
  <si>
    <t xml:space="preserve">UTP Cat 5e</t>
  </si>
  <si>
    <t xml:space="preserve">UTP Cat 6</t>
  </si>
  <si>
    <t xml:space="preserve">UTP/FTP Cat 6A</t>
  </si>
  <si>
    <t xml:space="preserve">Fibra óptica OM4</t>
  </si>
  <si>
    <t xml:space="preserve">Clase (ISO/IEC 11801)</t>
  </si>
  <si>
    <t xml:space="preserve">Clase D</t>
  </si>
  <si>
    <t xml:space="preserve">Clase E</t>
  </si>
  <si>
    <t xml:space="preserve">Clase EA</t>
  </si>
  <si>
    <t xml:space="preserve">OM4</t>
  </si>
  <si>
    <t xml:space="preserve">Ancho de banda</t>
  </si>
  <si>
    <t xml:space="preserve">100 MHz</t>
  </si>
  <si>
    <t xml:space="preserve">250 MHz</t>
  </si>
  <si>
    <t xml:space="preserve">500 MHz</t>
  </si>
  <si>
    <t xml:space="preserve">4.700 MHz·km</t>
  </si>
  <si>
    <t xml:space="preserve">Velocidad a 100 m</t>
  </si>
  <si>
    <t xml:space="preserve">1 Gbps</t>
  </si>
  <si>
    <t xml:space="preserve">10 Gbps</t>
  </si>
  <si>
    <t xml:space="preserve">10-100 Gbps</t>
  </si>
  <si>
    <t xml:space="preserve">Velocidad a 55 m</t>
  </si>
  <si>
    <t xml:space="preserve">Distancia máxima del canal</t>
  </si>
  <si>
    <t xml:space="preserve">100 m</t>
  </si>
  <si>
    <t xml:space="preserve">400 m (10G, OM4)</t>
  </si>
  <si>
    <t xml:space="preserve">Soporte PoE++ (802.3bt, 90 W)</t>
  </si>
  <si>
    <t xml:space="preserve">Limitado</t>
  </si>
  <si>
    <t xml:space="preserve">Aceptable</t>
  </si>
  <si>
    <t xml:space="preserve">Óptimo (menor calentamiento)</t>
  </si>
  <si>
    <t xml:space="preserve">No aplica</t>
  </si>
  <si>
    <t xml:space="preserve">Inmunidad a diafonía exógena (alien crosstalk)</t>
  </si>
  <si>
    <t xml:space="preserve">Baja</t>
  </si>
  <si>
    <t xml:space="preserve">Media</t>
  </si>
  <si>
    <t xml:space="preserve">Alta (apantallado)</t>
  </si>
  <si>
    <t xml:space="preserve">Total</t>
  </si>
  <si>
    <t xml:space="preserve">Inmunidad electromagnética</t>
  </si>
  <si>
    <t xml:space="preserve">Alta</t>
  </si>
  <si>
    <t xml:space="preserve">Costo relativo del material</t>
  </si>
  <si>
    <t xml:space="preserve">1,0</t>
  </si>
  <si>
    <t xml:space="preserve">1,4</t>
  </si>
  <si>
    <t xml:space="preserve">2,1</t>
  </si>
  <si>
    <t xml:space="preserve">3,0 (con terminación)</t>
  </si>
  <si>
    <t xml:space="preserve">Vida útil estimada de la instalación</t>
  </si>
  <si>
    <t xml:space="preserve">5-8 años</t>
  </si>
  <si>
    <t xml:space="preserve">8-12 años</t>
  </si>
  <si>
    <t xml:space="preserve">15-20 años</t>
  </si>
  <si>
    <t xml:space="preserve">20+ años</t>
  </si>
  <si>
    <t xml:space="preserve">Aplicación en este proyecto</t>
  </si>
  <si>
    <t xml:space="preserve">Descartado</t>
  </si>
  <si>
    <t xml:space="preserve">Cableado horizontal (adoptado)</t>
  </si>
  <si>
    <t xml:space="preserve">Backbone vertical (adoptado)</t>
  </si>
  <si>
    <t xml:space="preserve">IMPACTO ECONÓMICO DE LA DECISIÓN (partidas afectadas)</t>
  </si>
  <si>
    <t xml:space="preserve">Partida</t>
  </si>
  <si>
    <t xml:space="preserve">Escenario Cat 6A (adoptado)</t>
  </si>
  <si>
    <t xml:space="preserve">Escenario Cat 6</t>
  </si>
  <si>
    <t xml:space="preserve">Diferencia</t>
  </si>
  <si>
    <t xml:space="preserve">Cable horizontal (130 cajas de 305 m)</t>
  </si>
  <si>
    <t xml:space="preserve">Módulos RJ45 (1.920 unidades)</t>
  </si>
  <si>
    <t xml:space="preserve">Patch panels</t>
  </si>
  <si>
    <t xml:space="preserve">Patch cords (rack y puesto de trabajo)</t>
  </si>
  <si>
    <t xml:space="preserve">TOTAL DE LAS PARTIDAS AFECTADAS</t>
  </si>
  <si>
    <t xml:space="preserve">Conclusión: el sobrecosto de adoptar Cat 6A equivale a menos del 7 % del costo directo del proyecto y habilita 10GBASE-T a 100 m en toda la planta, mejor disipación térmica bajo PoE++ y una vida útil estimada del doble. Se adopta Cat 6A.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</si>
</sst>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0\ %"/>
    <numFmt numFmtId="168" formatCode="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A6B"/>
      <name val="Arial"/>
      <family val="0"/>
      <charset val="1"/>
    </font>
    <font>
      <sz val="10"/>
      <color rgb="FF5A646E"/>
      <name val="Arial"/>
      <family val="0"/>
      <charset val="1"/>
    </font>
    <font>
      <i val="true"/>
      <sz val="9"/>
      <color rgb="FF5A646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3A6B"/>
      <name val="Arial"/>
      <family val="0"/>
      <charset val="1"/>
    </font>
    <font>
      <sz val="9.5"/>
      <color rgb="FF000000"/>
      <name val="Arial"/>
      <family val="0"/>
      <charset val="1"/>
    </font>
    <font>
      <sz val="9.5"/>
      <color rgb="FF0000FF"/>
      <name val="Arial"/>
      <family val="0"/>
      <charset val="1"/>
    </font>
    <font>
      <b val="true"/>
      <sz val="9.5"/>
      <color rgb="FF000000"/>
      <name val="Arial"/>
      <family val="0"/>
      <charset val="1"/>
    </font>
    <font>
      <b val="true"/>
      <sz val="11"/>
      <color rgb="FF1B3A6B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.5"/>
      <color rgb="FF5A646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9.5"/>
      <color rgb="FF5A646E"/>
      <name val="Arial"/>
      <family val="0"/>
      <charset val="1"/>
    </font>
    <font>
      <b val="true"/>
      <sz val="9.5"/>
      <color rgb="FF0000FF"/>
      <name val="Arial"/>
      <family val="0"/>
      <charset val="1"/>
    </font>
    <font>
      <sz val="9.5"/>
      <name val="Arial"/>
      <family val="0"/>
      <charset val="1"/>
    </font>
    <font>
      <i val="true"/>
      <sz val="10"/>
      <color rgb="FFC4571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AF1FA"/>
        <bgColor rgb="FFF1F3F5"/>
      </patternFill>
    </fill>
    <fill>
      <patternFill patternType="solid">
        <fgColor rgb="FFF1F3F5"/>
        <bgColor rgb="FFEAF1FA"/>
      </patternFill>
    </fill>
    <fill>
      <patternFill patternType="solid">
        <fgColor rgb="FFFFFF00"/>
        <bgColor rgb="FFFFFF00"/>
      </patternFill>
    </fill>
    <fill>
      <patternFill patternType="solid">
        <fgColor rgb="FF2E6DB4"/>
        <bgColor rgb="FF0066CC"/>
      </patternFill>
    </fill>
    <fill>
      <patternFill patternType="solid">
        <fgColor rgb="FFEAF6EF"/>
        <bgColor rgb="FFF1F3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6CE"/>
      </left>
      <right style="thin">
        <color rgb="FFBFC6CE"/>
      </right>
      <top style="thin">
        <color rgb="FFBFC6CE"/>
      </top>
      <bottom style="thin">
        <color rgb="FFBFC6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6CE"/>
      <rgbColor rgb="FF808080"/>
      <rgbColor rgb="FF9999FF"/>
      <rgbColor rgb="FF993366"/>
      <rgbColor rgb="FFEAF6EF"/>
      <rgbColor rgb="FFEAF1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F5"/>
      <rgbColor rgb="FFCCFFCC"/>
      <rgbColor rgb="FFFFFF99"/>
      <rgbColor rgb="FF99CCFF"/>
      <rgbColor rgb="FFFF99CC"/>
      <rgbColor rgb="FFCC99FF"/>
      <rgbColor rgb="FFFFCC99"/>
      <rgbColor rgb="FF2E6DB4"/>
      <rgbColor rgb="FF33CCCC"/>
      <rgbColor rgb="FF99CC00"/>
      <rgbColor rgb="FFFFCC00"/>
      <rgbColor rgb="FFFF9900"/>
      <rgbColor rgb="FFC4571B"/>
      <rgbColor rgb="FF5A646E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6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6" min="5" style="0" width="17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6"/>
      <c r="C6" s="6"/>
      <c r="D6" s="6"/>
      <c r="E6" s="6"/>
      <c r="F6" s="6"/>
      <c r="G6" s="6"/>
    </row>
    <row r="7" customFormat="false" ht="15" hidden="false" customHeight="false" outlineLevel="0" collapsed="false">
      <c r="A7" s="7" t="n">
        <v>1</v>
      </c>
      <c r="B7" s="8" t="s">
        <v>11</v>
      </c>
      <c r="C7" s="7" t="s">
        <v>12</v>
      </c>
      <c r="D7" s="9" t="n">
        <v>130</v>
      </c>
      <c r="E7" s="10" t="n">
        <v>184520</v>
      </c>
      <c r="F7" s="11" t="n">
        <f aca="false">D7*E7</f>
        <v>23987600</v>
      </c>
      <c r="G7" s="8" t="s">
        <v>13</v>
      </c>
    </row>
    <row r="8" customFormat="false" ht="15" hidden="false" customHeight="false" outlineLevel="0" collapsed="false">
      <c r="A8" s="7" t="n">
        <v>2</v>
      </c>
      <c r="B8" s="8" t="s">
        <v>14</v>
      </c>
      <c r="C8" s="7" t="s">
        <v>15</v>
      </c>
      <c r="D8" s="9" t="n">
        <v>960</v>
      </c>
      <c r="E8" s="10" t="n">
        <v>2593</v>
      </c>
      <c r="F8" s="11" t="n">
        <f aca="false">D8*E8</f>
        <v>2489280</v>
      </c>
      <c r="G8" s="8" t="s">
        <v>13</v>
      </c>
    </row>
    <row r="9" customFormat="false" ht="15" hidden="false" customHeight="false" outlineLevel="0" collapsed="false">
      <c r="A9" s="7" t="n">
        <v>3</v>
      </c>
      <c r="B9" s="8" t="s">
        <v>16</v>
      </c>
      <c r="C9" s="7" t="s">
        <v>15</v>
      </c>
      <c r="D9" s="9" t="n">
        <v>960</v>
      </c>
      <c r="E9" s="10" t="n">
        <v>2593</v>
      </c>
      <c r="F9" s="11" t="n">
        <f aca="false">D9*E9</f>
        <v>2489280</v>
      </c>
      <c r="G9" s="8" t="s">
        <v>13</v>
      </c>
    </row>
    <row r="10" customFormat="false" ht="15" hidden="false" customHeight="false" outlineLevel="0" collapsed="false">
      <c r="A10" s="7" t="n">
        <v>4</v>
      </c>
      <c r="B10" s="8" t="s">
        <v>17</v>
      </c>
      <c r="C10" s="7" t="s">
        <v>15</v>
      </c>
      <c r="D10" s="9" t="n">
        <v>40</v>
      </c>
      <c r="E10" s="10" t="n">
        <v>8790</v>
      </c>
      <c r="F10" s="11" t="n">
        <f aca="false">D10*E10</f>
        <v>351600</v>
      </c>
      <c r="G10" s="8" t="s">
        <v>13</v>
      </c>
    </row>
    <row r="11" customFormat="false" ht="15" hidden="false" customHeight="false" outlineLevel="0" collapsed="false">
      <c r="A11" s="7" t="n">
        <v>5</v>
      </c>
      <c r="B11" s="8" t="s">
        <v>18</v>
      </c>
      <c r="C11" s="7" t="s">
        <v>15</v>
      </c>
      <c r="D11" s="9" t="n">
        <v>480</v>
      </c>
      <c r="E11" s="10" t="n">
        <v>3500</v>
      </c>
      <c r="F11" s="11" t="n">
        <f aca="false">D11*E11</f>
        <v>1680000</v>
      </c>
      <c r="G11" s="8" t="s">
        <v>19</v>
      </c>
    </row>
    <row r="12" customFormat="false" ht="15" hidden="false" customHeight="false" outlineLevel="0" collapsed="false">
      <c r="A12" s="7" t="n">
        <v>6</v>
      </c>
      <c r="B12" s="8" t="s">
        <v>20</v>
      </c>
      <c r="C12" s="7" t="s">
        <v>15</v>
      </c>
      <c r="D12" s="9" t="n">
        <v>720</v>
      </c>
      <c r="E12" s="10" t="n">
        <v>4500</v>
      </c>
      <c r="F12" s="11" t="n">
        <f aca="false">D12*E12</f>
        <v>3240000</v>
      </c>
      <c r="G12" s="8" t="s">
        <v>19</v>
      </c>
    </row>
    <row r="13" customFormat="false" ht="15" hidden="false" customHeight="false" outlineLevel="0" collapsed="false">
      <c r="A13" s="7" t="n">
        <v>7</v>
      </c>
      <c r="B13" s="8" t="s">
        <v>21</v>
      </c>
      <c r="C13" s="7" t="s">
        <v>15</v>
      </c>
      <c r="D13" s="9" t="n">
        <v>400</v>
      </c>
      <c r="E13" s="10" t="n">
        <v>5200</v>
      </c>
      <c r="F13" s="11" t="n">
        <f aca="false">D13*E13</f>
        <v>2080000</v>
      </c>
      <c r="G13" s="8" t="s">
        <v>19</v>
      </c>
    </row>
    <row r="14" customFormat="false" ht="15" hidden="false" customHeight="false" outlineLevel="0" collapsed="false">
      <c r="A14" s="7" t="n">
        <v>8</v>
      </c>
      <c r="B14" s="8" t="s">
        <v>22</v>
      </c>
      <c r="C14" s="7" t="s">
        <v>15</v>
      </c>
      <c r="D14" s="9" t="n">
        <v>20</v>
      </c>
      <c r="E14" s="10" t="n">
        <v>12000</v>
      </c>
      <c r="F14" s="11" t="n">
        <f aca="false">D14*E14</f>
        <v>240000</v>
      </c>
      <c r="G14" s="8" t="s">
        <v>19</v>
      </c>
    </row>
    <row r="15" customFormat="false" ht="15" hidden="false" customHeight="false" outlineLevel="0" collapsed="false">
      <c r="A15" s="12"/>
      <c r="B15" s="12" t="s">
        <v>23</v>
      </c>
      <c r="C15" s="12"/>
      <c r="D15" s="12"/>
      <c r="E15" s="12"/>
      <c r="F15" s="13" t="n">
        <f aca="false">SUM(F7:F14)</f>
        <v>36557760</v>
      </c>
      <c r="G15" s="12"/>
    </row>
    <row r="17" customFormat="false" ht="15" hidden="false" customHeight="false" outlineLevel="0" collapsed="false">
      <c r="A17" s="5" t="s">
        <v>24</v>
      </c>
      <c r="B17" s="6"/>
      <c r="C17" s="6"/>
      <c r="D17" s="6"/>
      <c r="E17" s="6"/>
      <c r="F17" s="6"/>
      <c r="G17" s="6"/>
    </row>
    <row r="18" customFormat="false" ht="15" hidden="false" customHeight="false" outlineLevel="0" collapsed="false">
      <c r="A18" s="7" t="n">
        <v>9</v>
      </c>
      <c r="B18" s="8" t="s">
        <v>25</v>
      </c>
      <c r="C18" s="7" t="s">
        <v>26</v>
      </c>
      <c r="D18" s="9" t="n">
        <v>300</v>
      </c>
      <c r="E18" s="10" t="n">
        <v>2500</v>
      </c>
      <c r="F18" s="11" t="n">
        <f aca="false">D18*E18</f>
        <v>750000</v>
      </c>
      <c r="G18" s="8" t="s">
        <v>27</v>
      </c>
    </row>
    <row r="19" customFormat="false" ht="15" hidden="false" customHeight="false" outlineLevel="0" collapsed="false">
      <c r="A19" s="7" t="n">
        <v>10</v>
      </c>
      <c r="B19" s="8" t="s">
        <v>28</v>
      </c>
      <c r="C19" s="7" t="s">
        <v>15</v>
      </c>
      <c r="D19" s="9" t="n">
        <v>6</v>
      </c>
      <c r="E19" s="10" t="n">
        <v>85000</v>
      </c>
      <c r="F19" s="11" t="n">
        <f aca="false">D19*E19</f>
        <v>510000</v>
      </c>
      <c r="G19" s="8" t="s">
        <v>19</v>
      </c>
    </row>
    <row r="20" customFormat="false" ht="15" hidden="false" customHeight="false" outlineLevel="0" collapsed="false">
      <c r="A20" s="7" t="n">
        <v>11</v>
      </c>
      <c r="B20" s="8" t="s">
        <v>29</v>
      </c>
      <c r="C20" s="7" t="s">
        <v>15</v>
      </c>
      <c r="D20" s="9" t="n">
        <v>120</v>
      </c>
      <c r="E20" s="10" t="n">
        <v>9800</v>
      </c>
      <c r="F20" s="11" t="n">
        <f aca="false">D20*E20</f>
        <v>1176000</v>
      </c>
      <c r="G20" s="8" t="s">
        <v>19</v>
      </c>
    </row>
    <row r="21" customFormat="false" ht="15" hidden="false" customHeight="false" outlineLevel="0" collapsed="false">
      <c r="A21" s="7" t="n">
        <v>12</v>
      </c>
      <c r="B21" s="8" t="s">
        <v>30</v>
      </c>
      <c r="C21" s="7" t="s">
        <v>15</v>
      </c>
      <c r="D21" s="9" t="n">
        <v>40</v>
      </c>
      <c r="E21" s="10" t="n">
        <v>18000</v>
      </c>
      <c r="F21" s="11" t="n">
        <f aca="false">D21*E21</f>
        <v>720000</v>
      </c>
      <c r="G21" s="8" t="s">
        <v>19</v>
      </c>
    </row>
    <row r="22" customFormat="false" ht="15" hidden="false" customHeight="false" outlineLevel="0" collapsed="false">
      <c r="A22" s="7" t="n">
        <v>13</v>
      </c>
      <c r="B22" s="8" t="s">
        <v>31</v>
      </c>
      <c r="C22" s="7" t="s">
        <v>15</v>
      </c>
      <c r="D22" s="9" t="n">
        <v>20</v>
      </c>
      <c r="E22" s="10" t="n">
        <v>65000</v>
      </c>
      <c r="F22" s="11" t="n">
        <f aca="false">D22*E22</f>
        <v>1300000</v>
      </c>
      <c r="G22" s="8" t="s">
        <v>19</v>
      </c>
    </row>
    <row r="23" customFormat="false" ht="15" hidden="false" customHeight="false" outlineLevel="0" collapsed="false">
      <c r="A23" s="12"/>
      <c r="B23" s="12" t="s">
        <v>32</v>
      </c>
      <c r="C23" s="12"/>
      <c r="D23" s="12"/>
      <c r="E23" s="12"/>
      <c r="F23" s="13" t="n">
        <f aca="false">SUM(F18:F22)</f>
        <v>4456000</v>
      </c>
      <c r="G23" s="12"/>
    </row>
    <row r="25" customFormat="false" ht="15" hidden="false" customHeight="false" outlineLevel="0" collapsed="false">
      <c r="A25" s="5" t="s">
        <v>33</v>
      </c>
      <c r="B25" s="6"/>
      <c r="C25" s="6"/>
      <c r="D25" s="6"/>
      <c r="E25" s="6"/>
      <c r="F25" s="6"/>
      <c r="G25" s="6"/>
    </row>
    <row r="26" customFormat="false" ht="15" hidden="false" customHeight="false" outlineLevel="0" collapsed="false">
      <c r="A26" s="7" t="n">
        <v>14</v>
      </c>
      <c r="B26" s="8" t="s">
        <v>34</v>
      </c>
      <c r="C26" s="7" t="s">
        <v>15</v>
      </c>
      <c r="D26" s="9" t="n">
        <v>6</v>
      </c>
      <c r="E26" s="10" t="n">
        <v>386216</v>
      </c>
      <c r="F26" s="11" t="n">
        <f aca="false">D26*E26</f>
        <v>2317296</v>
      </c>
      <c r="G26" s="8" t="s">
        <v>13</v>
      </c>
    </row>
    <row r="27" customFormat="false" ht="15" hidden="false" customHeight="false" outlineLevel="0" collapsed="false">
      <c r="A27" s="7" t="n">
        <v>15</v>
      </c>
      <c r="B27" s="8" t="s">
        <v>35</v>
      </c>
      <c r="C27" s="7" t="s">
        <v>15</v>
      </c>
      <c r="D27" s="9" t="n">
        <v>12</v>
      </c>
      <c r="E27" s="10" t="n">
        <v>65000</v>
      </c>
      <c r="F27" s="11" t="n">
        <f aca="false">D27*E27</f>
        <v>780000</v>
      </c>
      <c r="G27" s="8" t="s">
        <v>19</v>
      </c>
    </row>
    <row r="28" customFormat="false" ht="15" hidden="false" customHeight="false" outlineLevel="0" collapsed="false">
      <c r="A28" s="7" t="n">
        <v>16</v>
      </c>
      <c r="B28" s="8" t="s">
        <v>36</v>
      </c>
      <c r="C28" s="7" t="s">
        <v>15</v>
      </c>
      <c r="D28" s="9" t="n">
        <v>5</v>
      </c>
      <c r="E28" s="10" t="n">
        <v>750000</v>
      </c>
      <c r="F28" s="11" t="n">
        <f aca="false">D28*E28</f>
        <v>3750000</v>
      </c>
      <c r="G28" s="8" t="s">
        <v>19</v>
      </c>
    </row>
    <row r="29" customFormat="false" ht="15" hidden="false" customHeight="false" outlineLevel="0" collapsed="false">
      <c r="A29" s="7" t="n">
        <v>17</v>
      </c>
      <c r="B29" s="8" t="s">
        <v>37</v>
      </c>
      <c r="C29" s="7" t="s">
        <v>15</v>
      </c>
      <c r="D29" s="9" t="n">
        <v>1</v>
      </c>
      <c r="E29" s="10" t="n">
        <v>2800000</v>
      </c>
      <c r="F29" s="11" t="n">
        <f aca="false">D29*E29</f>
        <v>2800000</v>
      </c>
      <c r="G29" s="8" t="s">
        <v>19</v>
      </c>
    </row>
    <row r="30" customFormat="false" ht="15" hidden="false" customHeight="false" outlineLevel="0" collapsed="false">
      <c r="A30" s="7" t="n">
        <v>18</v>
      </c>
      <c r="B30" s="8" t="s">
        <v>38</v>
      </c>
      <c r="C30" s="7" t="s">
        <v>15</v>
      </c>
      <c r="D30" s="9" t="n">
        <v>6</v>
      </c>
      <c r="E30" s="10" t="n">
        <v>520000</v>
      </c>
      <c r="F30" s="11" t="n">
        <f aca="false">D30*E30</f>
        <v>3120000</v>
      </c>
      <c r="G30" s="8" t="s">
        <v>19</v>
      </c>
    </row>
    <row r="31" customFormat="false" ht="15" hidden="false" customHeight="false" outlineLevel="0" collapsed="false">
      <c r="A31" s="7" t="n">
        <v>19</v>
      </c>
      <c r="B31" s="8" t="s">
        <v>39</v>
      </c>
      <c r="C31" s="7" t="s">
        <v>40</v>
      </c>
      <c r="D31" s="9" t="n">
        <v>6</v>
      </c>
      <c r="E31" s="10" t="n">
        <v>145000</v>
      </c>
      <c r="F31" s="11" t="n">
        <f aca="false">D31*E31</f>
        <v>870000</v>
      </c>
      <c r="G31" s="8" t="s">
        <v>19</v>
      </c>
    </row>
    <row r="32" customFormat="false" ht="23.85" hidden="false" customHeight="false" outlineLevel="0" collapsed="false">
      <c r="A32" s="7" t="n">
        <v>20</v>
      </c>
      <c r="B32" s="8" t="s">
        <v>41</v>
      </c>
      <c r="C32" s="7" t="s">
        <v>40</v>
      </c>
      <c r="D32" s="9" t="n">
        <v>6</v>
      </c>
      <c r="E32" s="10" t="n">
        <v>620000</v>
      </c>
      <c r="F32" s="11" t="n">
        <f aca="false">D32*E32</f>
        <v>3720000</v>
      </c>
      <c r="G32" s="8" t="s">
        <v>19</v>
      </c>
    </row>
    <row r="33" customFormat="false" ht="15" hidden="false" customHeight="false" outlineLevel="0" collapsed="false">
      <c r="A33" s="12"/>
      <c r="B33" s="12" t="s">
        <v>42</v>
      </c>
      <c r="C33" s="12"/>
      <c r="D33" s="12"/>
      <c r="E33" s="12"/>
      <c r="F33" s="13" t="n">
        <f aca="false">SUM(F26:F32)</f>
        <v>17357296</v>
      </c>
      <c r="G33" s="12"/>
    </row>
    <row r="35" customFormat="false" ht="15" hidden="false" customHeight="false" outlineLevel="0" collapsed="false">
      <c r="A35" s="5" t="s">
        <v>43</v>
      </c>
      <c r="B35" s="6"/>
      <c r="C35" s="6"/>
      <c r="D35" s="6"/>
      <c r="E35" s="6"/>
      <c r="F35" s="6"/>
      <c r="G35" s="6"/>
    </row>
    <row r="36" customFormat="false" ht="23.85" hidden="false" customHeight="false" outlineLevel="0" collapsed="false">
      <c r="A36" s="7" t="n">
        <v>21</v>
      </c>
      <c r="B36" s="8" t="s">
        <v>44</v>
      </c>
      <c r="C36" s="7" t="s">
        <v>15</v>
      </c>
      <c r="D36" s="9" t="n">
        <v>15</v>
      </c>
      <c r="E36" s="10" t="n">
        <v>2150000</v>
      </c>
      <c r="F36" s="11" t="n">
        <f aca="false">D36*E36</f>
        <v>32250000</v>
      </c>
      <c r="G36" s="8" t="s">
        <v>45</v>
      </c>
    </row>
    <row r="37" customFormat="false" ht="15" hidden="false" customHeight="false" outlineLevel="0" collapsed="false">
      <c r="A37" s="7" t="n">
        <v>22</v>
      </c>
      <c r="B37" s="8" t="s">
        <v>46</v>
      </c>
      <c r="C37" s="7" t="s">
        <v>15</v>
      </c>
      <c r="D37" s="9" t="n">
        <v>2</v>
      </c>
      <c r="E37" s="10" t="n">
        <v>5450000</v>
      </c>
      <c r="F37" s="11" t="n">
        <f aca="false">D37*E37</f>
        <v>10900000</v>
      </c>
      <c r="G37" s="8" t="s">
        <v>47</v>
      </c>
    </row>
    <row r="38" customFormat="false" ht="23.85" hidden="false" customHeight="false" outlineLevel="0" collapsed="false">
      <c r="A38" s="7" t="n">
        <v>23</v>
      </c>
      <c r="B38" s="8" t="s">
        <v>48</v>
      </c>
      <c r="C38" s="7" t="s">
        <v>15</v>
      </c>
      <c r="D38" s="9" t="n">
        <v>2</v>
      </c>
      <c r="E38" s="10" t="n">
        <v>4350000</v>
      </c>
      <c r="F38" s="11" t="n">
        <f aca="false">D38*E38</f>
        <v>8700000</v>
      </c>
      <c r="G38" s="8" t="s">
        <v>49</v>
      </c>
    </row>
    <row r="39" customFormat="false" ht="15" hidden="false" customHeight="false" outlineLevel="0" collapsed="false">
      <c r="A39" s="7" t="n">
        <v>24</v>
      </c>
      <c r="B39" s="8" t="s">
        <v>50</v>
      </c>
      <c r="C39" s="7" t="s">
        <v>15</v>
      </c>
      <c r="D39" s="9" t="n">
        <v>1</v>
      </c>
      <c r="E39" s="10" t="n">
        <v>1250000</v>
      </c>
      <c r="F39" s="11" t="n">
        <f aca="false">D39*E39</f>
        <v>1250000</v>
      </c>
      <c r="G39" s="8" t="s">
        <v>19</v>
      </c>
    </row>
    <row r="40" customFormat="false" ht="15" hidden="false" customHeight="false" outlineLevel="0" collapsed="false">
      <c r="A40" s="7" t="n">
        <v>25</v>
      </c>
      <c r="B40" s="8" t="s">
        <v>51</v>
      </c>
      <c r="C40" s="7" t="s">
        <v>40</v>
      </c>
      <c r="D40" s="9" t="n">
        <v>1</v>
      </c>
      <c r="E40" s="10" t="n">
        <v>3200000</v>
      </c>
      <c r="F40" s="11" t="n">
        <f aca="false">D40*E40</f>
        <v>3200000</v>
      </c>
      <c r="G40" s="8" t="s">
        <v>19</v>
      </c>
    </row>
    <row r="41" customFormat="false" ht="15" hidden="false" customHeight="false" outlineLevel="0" collapsed="false">
      <c r="A41" s="12"/>
      <c r="B41" s="12" t="s">
        <v>52</v>
      </c>
      <c r="C41" s="12"/>
      <c r="D41" s="12"/>
      <c r="E41" s="12"/>
      <c r="F41" s="13" t="n">
        <f aca="false">SUM(F36:F40)</f>
        <v>56300000</v>
      </c>
      <c r="G41" s="12"/>
    </row>
    <row r="43" customFormat="false" ht="15" hidden="false" customHeight="false" outlineLevel="0" collapsed="false">
      <c r="A43" s="5" t="s">
        <v>53</v>
      </c>
      <c r="B43" s="6"/>
      <c r="C43" s="6"/>
      <c r="D43" s="6"/>
      <c r="E43" s="6"/>
      <c r="F43" s="6"/>
      <c r="G43" s="6"/>
    </row>
    <row r="44" customFormat="false" ht="23.85" hidden="false" customHeight="false" outlineLevel="0" collapsed="false">
      <c r="A44" s="7" t="n">
        <v>26</v>
      </c>
      <c r="B44" s="8" t="s">
        <v>54</v>
      </c>
      <c r="C44" s="7" t="s">
        <v>15</v>
      </c>
      <c r="D44" s="9" t="n">
        <v>30</v>
      </c>
      <c r="E44" s="10" t="n">
        <v>190900</v>
      </c>
      <c r="F44" s="11" t="n">
        <f aca="false">D44*E44</f>
        <v>5727000</v>
      </c>
      <c r="G44" s="8" t="s">
        <v>55</v>
      </c>
    </row>
    <row r="45" customFormat="false" ht="15" hidden="false" customHeight="false" outlineLevel="0" collapsed="false">
      <c r="A45" s="7" t="n">
        <v>27</v>
      </c>
      <c r="B45" s="8" t="s">
        <v>56</v>
      </c>
      <c r="C45" s="7" t="s">
        <v>15</v>
      </c>
      <c r="D45" s="9" t="n">
        <v>30</v>
      </c>
      <c r="E45" s="10" t="n">
        <v>18500</v>
      </c>
      <c r="F45" s="11" t="n">
        <f aca="false">D45*E45</f>
        <v>555000</v>
      </c>
      <c r="G45" s="8" t="s">
        <v>19</v>
      </c>
    </row>
    <row r="46" customFormat="false" ht="15" hidden="false" customHeight="false" outlineLevel="0" collapsed="false">
      <c r="A46" s="7" t="n">
        <v>28</v>
      </c>
      <c r="B46" s="8" t="s">
        <v>57</v>
      </c>
      <c r="C46" s="7" t="s">
        <v>15</v>
      </c>
      <c r="D46" s="9" t="n">
        <v>30</v>
      </c>
      <c r="E46" s="10" t="n">
        <v>62000</v>
      </c>
      <c r="F46" s="11" t="n">
        <f aca="false">D46*E46</f>
        <v>1860000</v>
      </c>
      <c r="G46" s="8" t="s">
        <v>19</v>
      </c>
    </row>
    <row r="47" customFormat="false" ht="15" hidden="false" customHeight="false" outlineLevel="0" collapsed="false">
      <c r="A47" s="7" t="n">
        <v>29</v>
      </c>
      <c r="B47" s="8" t="s">
        <v>58</v>
      </c>
      <c r="C47" s="7" t="s">
        <v>40</v>
      </c>
      <c r="D47" s="9" t="n">
        <v>1</v>
      </c>
      <c r="E47" s="10" t="n">
        <v>1450000</v>
      </c>
      <c r="F47" s="11" t="n">
        <f aca="false">D47*E47</f>
        <v>1450000</v>
      </c>
      <c r="G47" s="8" t="s">
        <v>19</v>
      </c>
    </row>
    <row r="48" customFormat="false" ht="15" hidden="false" customHeight="false" outlineLevel="0" collapsed="false">
      <c r="A48" s="12"/>
      <c r="B48" s="12" t="s">
        <v>59</v>
      </c>
      <c r="C48" s="12"/>
      <c r="D48" s="12"/>
      <c r="E48" s="12"/>
      <c r="F48" s="13" t="n">
        <f aca="false">SUM(F44:F47)</f>
        <v>9592000</v>
      </c>
      <c r="G48" s="12"/>
    </row>
    <row r="50" customFormat="false" ht="15" hidden="false" customHeight="false" outlineLevel="0" collapsed="false">
      <c r="A50" s="5" t="s">
        <v>60</v>
      </c>
      <c r="B50" s="6"/>
      <c r="C50" s="6"/>
      <c r="D50" s="6"/>
      <c r="E50" s="6"/>
      <c r="F50" s="6"/>
      <c r="G50" s="6"/>
    </row>
    <row r="51" customFormat="false" ht="15" hidden="false" customHeight="false" outlineLevel="0" collapsed="false">
      <c r="A51" s="7" t="n">
        <v>30</v>
      </c>
      <c r="B51" s="8" t="s">
        <v>61</v>
      </c>
      <c r="C51" s="7" t="s">
        <v>26</v>
      </c>
      <c r="D51" s="9" t="n">
        <v>600</v>
      </c>
      <c r="E51" s="10" t="n">
        <v>9300</v>
      </c>
      <c r="F51" s="11" t="n">
        <f aca="false">D51*E51</f>
        <v>5580000</v>
      </c>
      <c r="G51" s="8" t="s">
        <v>19</v>
      </c>
    </row>
    <row r="52" customFormat="false" ht="15" hidden="false" customHeight="false" outlineLevel="0" collapsed="false">
      <c r="A52" s="7" t="n">
        <v>31</v>
      </c>
      <c r="B52" s="8" t="s">
        <v>62</v>
      </c>
      <c r="C52" s="7" t="s">
        <v>26</v>
      </c>
      <c r="D52" s="9" t="n">
        <v>1300</v>
      </c>
      <c r="E52" s="10" t="n">
        <v>3100</v>
      </c>
      <c r="F52" s="11" t="n">
        <f aca="false">D52*E52</f>
        <v>4030000</v>
      </c>
      <c r="G52" s="8" t="s">
        <v>19</v>
      </c>
    </row>
    <row r="53" customFormat="false" ht="15" hidden="false" customHeight="false" outlineLevel="0" collapsed="false">
      <c r="A53" s="7" t="n">
        <v>32</v>
      </c>
      <c r="B53" s="8" t="s">
        <v>63</v>
      </c>
      <c r="C53" s="7" t="s">
        <v>26</v>
      </c>
      <c r="D53" s="9" t="n">
        <v>900</v>
      </c>
      <c r="E53" s="10" t="n">
        <v>3250</v>
      </c>
      <c r="F53" s="11" t="n">
        <f aca="false">D53*E53</f>
        <v>2925000</v>
      </c>
      <c r="G53" s="8" t="s">
        <v>19</v>
      </c>
    </row>
    <row r="54" customFormat="false" ht="15" hidden="false" customHeight="false" outlineLevel="0" collapsed="false">
      <c r="A54" s="7" t="n">
        <v>33</v>
      </c>
      <c r="B54" s="8" t="s">
        <v>64</v>
      </c>
      <c r="C54" s="7" t="s">
        <v>40</v>
      </c>
      <c r="D54" s="9" t="n">
        <v>1</v>
      </c>
      <c r="E54" s="10" t="n">
        <v>1850000</v>
      </c>
      <c r="F54" s="11" t="n">
        <f aca="false">D54*E54</f>
        <v>1850000</v>
      </c>
      <c r="G54" s="8" t="s">
        <v>19</v>
      </c>
    </row>
    <row r="55" customFormat="false" ht="15" hidden="false" customHeight="false" outlineLevel="0" collapsed="false">
      <c r="A55" s="7" t="n">
        <v>34</v>
      </c>
      <c r="B55" s="8" t="s">
        <v>65</v>
      </c>
      <c r="C55" s="7" t="s">
        <v>40</v>
      </c>
      <c r="D55" s="9" t="n">
        <v>5</v>
      </c>
      <c r="E55" s="10" t="n">
        <v>380000</v>
      </c>
      <c r="F55" s="11" t="n">
        <f aca="false">D55*E55</f>
        <v>1900000</v>
      </c>
      <c r="G55" s="8" t="s">
        <v>19</v>
      </c>
    </row>
    <row r="56" customFormat="false" ht="15" hidden="false" customHeight="false" outlineLevel="0" collapsed="false">
      <c r="A56" s="12"/>
      <c r="B56" s="12" t="s">
        <v>66</v>
      </c>
      <c r="C56" s="12"/>
      <c r="D56" s="12"/>
      <c r="E56" s="12"/>
      <c r="F56" s="13" t="n">
        <f aca="false">SUM(F51:F55)</f>
        <v>16285000</v>
      </c>
      <c r="G56" s="12"/>
    </row>
    <row r="58" customFormat="false" ht="15" hidden="false" customHeight="false" outlineLevel="0" collapsed="false">
      <c r="A58" s="5" t="s">
        <v>67</v>
      </c>
      <c r="B58" s="6"/>
      <c r="C58" s="6"/>
      <c r="D58" s="6"/>
      <c r="E58" s="6"/>
      <c r="F58" s="6"/>
      <c r="G58" s="6"/>
    </row>
    <row r="59" customFormat="false" ht="15" hidden="false" customHeight="false" outlineLevel="0" collapsed="false">
      <c r="A59" s="7" t="n">
        <v>35</v>
      </c>
      <c r="B59" s="8" t="s">
        <v>68</v>
      </c>
      <c r="C59" s="7" t="s">
        <v>15</v>
      </c>
      <c r="D59" s="9" t="n">
        <v>960</v>
      </c>
      <c r="E59" s="10" t="n">
        <v>9800</v>
      </c>
      <c r="F59" s="11" t="n">
        <f aca="false">D59*E59</f>
        <v>9408000</v>
      </c>
      <c r="G59" s="8" t="s">
        <v>19</v>
      </c>
    </row>
    <row r="60" customFormat="false" ht="15" hidden="false" customHeight="false" outlineLevel="0" collapsed="false">
      <c r="A60" s="7" t="n">
        <v>36</v>
      </c>
      <c r="B60" s="8" t="s">
        <v>69</v>
      </c>
      <c r="C60" s="7" t="s">
        <v>15</v>
      </c>
      <c r="D60" s="9" t="n">
        <v>960</v>
      </c>
      <c r="E60" s="10" t="n">
        <v>3400</v>
      </c>
      <c r="F60" s="11" t="n">
        <f aca="false">D60*E60</f>
        <v>3264000</v>
      </c>
      <c r="G60" s="8" t="s">
        <v>19</v>
      </c>
    </row>
    <row r="61" customFormat="false" ht="15" hidden="false" customHeight="false" outlineLevel="0" collapsed="false">
      <c r="A61" s="7" t="n">
        <v>37</v>
      </c>
      <c r="B61" s="8" t="s">
        <v>70</v>
      </c>
      <c r="C61" s="7" t="s">
        <v>40</v>
      </c>
      <c r="D61" s="9" t="n">
        <v>1</v>
      </c>
      <c r="E61" s="10" t="n">
        <v>2650000</v>
      </c>
      <c r="F61" s="11" t="n">
        <f aca="false">D61*E61</f>
        <v>2650000</v>
      </c>
      <c r="G61" s="8" t="s">
        <v>19</v>
      </c>
    </row>
    <row r="62" customFormat="false" ht="15" hidden="false" customHeight="false" outlineLevel="0" collapsed="false">
      <c r="A62" s="7" t="n">
        <v>38</v>
      </c>
      <c r="B62" s="8" t="s">
        <v>71</v>
      </c>
      <c r="C62" s="7" t="s">
        <v>40</v>
      </c>
      <c r="D62" s="9" t="n">
        <v>1</v>
      </c>
      <c r="E62" s="10" t="n">
        <v>3850000</v>
      </c>
      <c r="F62" s="11" t="n">
        <f aca="false">D62*E62</f>
        <v>3850000</v>
      </c>
      <c r="G62" s="8" t="s">
        <v>19</v>
      </c>
    </row>
    <row r="63" customFormat="false" ht="15" hidden="false" customHeight="false" outlineLevel="0" collapsed="false">
      <c r="A63" s="7" t="n">
        <v>39</v>
      </c>
      <c r="B63" s="8" t="s">
        <v>72</v>
      </c>
      <c r="C63" s="7" t="s">
        <v>40</v>
      </c>
      <c r="D63" s="9" t="n">
        <v>1</v>
      </c>
      <c r="E63" s="10" t="n">
        <v>1950000</v>
      </c>
      <c r="F63" s="11" t="n">
        <f aca="false">D63*E63</f>
        <v>1950000</v>
      </c>
      <c r="G63" s="8" t="s">
        <v>19</v>
      </c>
    </row>
    <row r="64" customFormat="false" ht="15" hidden="false" customHeight="false" outlineLevel="0" collapsed="false">
      <c r="A64" s="7" t="n">
        <v>40</v>
      </c>
      <c r="B64" s="8" t="s">
        <v>73</v>
      </c>
      <c r="C64" s="7" t="s">
        <v>40</v>
      </c>
      <c r="D64" s="9" t="n">
        <v>1</v>
      </c>
      <c r="E64" s="10" t="n">
        <v>1180000</v>
      </c>
      <c r="F64" s="11" t="n">
        <f aca="false">D64*E64</f>
        <v>1180000</v>
      </c>
      <c r="G64" s="8" t="s">
        <v>19</v>
      </c>
    </row>
    <row r="65" customFormat="false" ht="15" hidden="false" customHeight="false" outlineLevel="0" collapsed="false">
      <c r="A65" s="7" t="n">
        <v>41</v>
      </c>
      <c r="B65" s="8" t="s">
        <v>74</v>
      </c>
      <c r="C65" s="7" t="s">
        <v>40</v>
      </c>
      <c r="D65" s="9" t="n">
        <v>1</v>
      </c>
      <c r="E65" s="10" t="n">
        <v>2900000</v>
      </c>
      <c r="F65" s="11" t="n">
        <f aca="false">D65*E65</f>
        <v>2900000</v>
      </c>
      <c r="G65" s="8" t="s">
        <v>19</v>
      </c>
    </row>
    <row r="66" customFormat="false" ht="15" hidden="false" customHeight="false" outlineLevel="0" collapsed="false">
      <c r="A66" s="12"/>
      <c r="B66" s="12" t="s">
        <v>75</v>
      </c>
      <c r="C66" s="12"/>
      <c r="D66" s="12"/>
      <c r="E66" s="12"/>
      <c r="F66" s="13" t="n">
        <f aca="false">SUM(F59:F65)</f>
        <v>25202000</v>
      </c>
      <c r="G66" s="12"/>
    </row>
    <row r="68" customFormat="false" ht="15" hidden="false" customHeight="false" outlineLevel="0" collapsed="false">
      <c r="A68" s="6"/>
      <c r="B68" s="14" t="s">
        <v>76</v>
      </c>
      <c r="C68" s="6"/>
      <c r="D68" s="6"/>
      <c r="E68" s="6"/>
      <c r="F68" s="15" t="n">
        <f aca="false">F15+F23+F33+F41+F48+F56+F66</f>
        <v>165750056</v>
      </c>
      <c r="G68" s="6"/>
    </row>
    <row r="69" customFormat="false" ht="15" hidden="false" customHeight="false" outlineLevel="0" collapsed="false">
      <c r="A69" s="16"/>
      <c r="B69" s="17" t="s">
        <v>77</v>
      </c>
      <c r="C69" s="16"/>
      <c r="D69" s="16"/>
      <c r="E69" s="18" t="n">
        <v>0.05</v>
      </c>
      <c r="F69" s="19" t="n">
        <f aca="false">ROUND(F68*E69,0)</f>
        <v>8287503</v>
      </c>
      <c r="G69" s="20" t="s">
        <v>78</v>
      </c>
    </row>
    <row r="70" customFormat="false" ht="15" hidden="false" customHeight="false" outlineLevel="0" collapsed="false">
      <c r="A70" s="6"/>
      <c r="B70" s="14" t="s">
        <v>79</v>
      </c>
      <c r="C70" s="6"/>
      <c r="D70" s="6"/>
      <c r="E70" s="6"/>
      <c r="F70" s="15" t="n">
        <f aca="false">F68+F69</f>
        <v>174037559</v>
      </c>
      <c r="G70" s="6"/>
    </row>
    <row r="71" customFormat="false" ht="15" hidden="false" customHeight="false" outlineLevel="0" collapsed="false">
      <c r="A71" s="16"/>
      <c r="B71" s="17" t="s">
        <v>80</v>
      </c>
      <c r="C71" s="16"/>
      <c r="D71" s="16"/>
      <c r="E71" s="18" t="n">
        <v>0.19</v>
      </c>
      <c r="F71" s="19" t="n">
        <f aca="false">ROUND(F70*E71,0)</f>
        <v>33067136</v>
      </c>
      <c r="G71" s="20" t="s">
        <v>81</v>
      </c>
    </row>
    <row r="72" customFormat="false" ht="15" hidden="false" customHeight="false" outlineLevel="0" collapsed="false">
      <c r="A72" s="21"/>
      <c r="B72" s="22" t="s">
        <v>82</v>
      </c>
      <c r="C72" s="21"/>
      <c r="D72" s="21"/>
      <c r="E72" s="21"/>
      <c r="F72" s="23" t="n">
        <f aca="false">F70+F71</f>
        <v>207104695</v>
      </c>
      <c r="G72" s="21"/>
    </row>
    <row r="75" customFormat="false" ht="15" hidden="false" customHeight="false" outlineLevel="0" collapsed="false">
      <c r="B75" s="24" t="s">
        <v>83</v>
      </c>
    </row>
    <row r="76" customFormat="false" ht="15" hidden="false" customHeight="false" outlineLevel="0" collapsed="false">
      <c r="B76" s="25" t="s">
        <v>84</v>
      </c>
      <c r="F76" s="26" t="n">
        <f aca="false">ROUND(F72/E81,0)</f>
        <v>517762</v>
      </c>
    </row>
    <row r="77" customFormat="false" ht="15" hidden="false" customHeight="false" outlineLevel="0" collapsed="false">
      <c r="B77" s="25" t="s">
        <v>85</v>
      </c>
      <c r="F77" s="26" t="n">
        <f aca="false">ROUND(F72/E82,0)</f>
        <v>215734</v>
      </c>
    </row>
    <row r="78" customFormat="false" ht="15" hidden="false" customHeight="false" outlineLevel="0" collapsed="false">
      <c r="B78" s="25" t="s">
        <v>86</v>
      </c>
      <c r="F78" s="26" t="n">
        <f aca="false">ROUND(F72/E83,0)</f>
        <v>223740</v>
      </c>
    </row>
    <row r="80" customFormat="false" ht="15" hidden="false" customHeight="false" outlineLevel="0" collapsed="false">
      <c r="B80" s="3" t="s">
        <v>87</v>
      </c>
    </row>
    <row r="81" customFormat="false" ht="15" hidden="false" customHeight="false" outlineLevel="0" collapsed="false">
      <c r="B81" s="27" t="s">
        <v>88</v>
      </c>
      <c r="E81" s="28" t="n">
        <v>400</v>
      </c>
    </row>
    <row r="82" customFormat="false" ht="15" hidden="false" customHeight="false" outlineLevel="0" collapsed="false">
      <c r="B82" s="27" t="s">
        <v>89</v>
      </c>
      <c r="E82" s="28" t="n">
        <v>960</v>
      </c>
    </row>
    <row r="83" customFormat="false" ht="15" hidden="false" customHeight="false" outlineLevel="0" collapsed="false">
      <c r="B83" s="27" t="s">
        <v>90</v>
      </c>
      <c r="E83" s="29" t="n">
        <v>925.65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5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91</v>
      </c>
    </row>
    <row r="3" customFormat="false" ht="15" hidden="false" customHeight="false" outlineLevel="0" collapsed="false">
      <c r="A3" s="24" t="s">
        <v>92</v>
      </c>
    </row>
    <row r="4" customFormat="false" ht="15" hidden="false" customHeight="false" outlineLevel="0" collapsed="false">
      <c r="A4" s="30" t="s">
        <v>93</v>
      </c>
      <c r="B4" s="30" t="s">
        <v>94</v>
      </c>
      <c r="C4" s="30" t="s">
        <v>95</v>
      </c>
    </row>
    <row r="5" customFormat="false" ht="15" hidden="false" customHeight="false" outlineLevel="0" collapsed="false">
      <c r="A5" s="31" t="s">
        <v>96</v>
      </c>
      <c r="B5" s="32" t="n">
        <v>40</v>
      </c>
      <c r="C5" s="31" t="s">
        <v>97</v>
      </c>
    </row>
    <row r="6" customFormat="false" ht="15" hidden="false" customHeight="false" outlineLevel="0" collapsed="false">
      <c r="A6" s="31" t="s">
        <v>98</v>
      </c>
      <c r="B6" s="32" t="n">
        <v>40</v>
      </c>
      <c r="C6" s="31" t="s">
        <v>99</v>
      </c>
    </row>
    <row r="7" customFormat="false" ht="15" hidden="false" customHeight="false" outlineLevel="0" collapsed="false">
      <c r="A7" s="31" t="s">
        <v>100</v>
      </c>
      <c r="B7" s="32" t="n">
        <v>24</v>
      </c>
      <c r="C7" s="31" t="s">
        <v>99</v>
      </c>
    </row>
    <row r="8" customFormat="false" ht="15" hidden="false" customHeight="false" outlineLevel="0" collapsed="false">
      <c r="A8" s="31" t="s">
        <v>101</v>
      </c>
      <c r="B8" s="32" t="n">
        <v>32</v>
      </c>
      <c r="C8" s="31" t="s">
        <v>99</v>
      </c>
    </row>
    <row r="9" customFormat="false" ht="15" hidden="false" customHeight="false" outlineLevel="0" collapsed="false">
      <c r="A9" s="31" t="s">
        <v>102</v>
      </c>
      <c r="B9" s="32" t="n">
        <v>2</v>
      </c>
      <c r="C9" s="31" t="s">
        <v>99</v>
      </c>
    </row>
    <row r="10" customFormat="false" ht="15" hidden="false" customHeight="false" outlineLevel="0" collapsed="false">
      <c r="A10" s="31" t="s">
        <v>103</v>
      </c>
      <c r="B10" s="32" t="n">
        <v>16</v>
      </c>
      <c r="C10" s="31" t="s">
        <v>104</v>
      </c>
    </row>
    <row r="11" customFormat="false" ht="15" hidden="false" customHeight="false" outlineLevel="0" collapsed="false">
      <c r="A11" s="31" t="s">
        <v>105</v>
      </c>
      <c r="B11" s="32" t="n">
        <v>6</v>
      </c>
      <c r="C11" s="31" t="s">
        <v>106</v>
      </c>
    </row>
    <row r="12" customFormat="false" ht="15" hidden="false" customHeight="false" outlineLevel="0" collapsed="false">
      <c r="A12" s="31" t="s">
        <v>107</v>
      </c>
      <c r="B12" s="32" t="n">
        <v>4</v>
      </c>
      <c r="C12" s="31" t="s">
        <v>108</v>
      </c>
    </row>
    <row r="13" customFormat="false" ht="15" hidden="false" customHeight="false" outlineLevel="0" collapsed="false">
      <c r="A13" s="31" t="s">
        <v>109</v>
      </c>
      <c r="B13" s="32" t="n">
        <v>6</v>
      </c>
      <c r="C13" s="31" t="s">
        <v>110</v>
      </c>
    </row>
    <row r="14" customFormat="false" ht="15" hidden="false" customHeight="false" outlineLevel="0" collapsed="false">
      <c r="A14" s="31" t="s">
        <v>111</v>
      </c>
      <c r="B14" s="32" t="n">
        <v>4</v>
      </c>
      <c r="C14" s="31" t="s">
        <v>112</v>
      </c>
    </row>
    <row r="15" customFormat="false" ht="15" hidden="false" customHeight="false" outlineLevel="0" collapsed="false">
      <c r="A15" s="31" t="s">
        <v>113</v>
      </c>
      <c r="B15" s="32" t="n">
        <v>2</v>
      </c>
      <c r="C15" s="31" t="s">
        <v>114</v>
      </c>
    </row>
    <row r="16" customFormat="false" ht="15" hidden="false" customHeight="false" outlineLevel="0" collapsed="false">
      <c r="A16" s="31" t="s">
        <v>115</v>
      </c>
      <c r="B16" s="32" t="n">
        <v>176</v>
      </c>
      <c r="C16" s="31" t="s">
        <v>116</v>
      </c>
    </row>
    <row r="17" customFormat="false" ht="15" hidden="false" customHeight="false" outlineLevel="0" collapsed="false">
      <c r="A17" s="31" t="s">
        <v>117</v>
      </c>
      <c r="B17" s="32" t="n">
        <v>16</v>
      </c>
      <c r="C17" s="31" t="s">
        <v>118</v>
      </c>
    </row>
    <row r="18" customFormat="false" ht="15" hidden="false" customHeight="false" outlineLevel="0" collapsed="false">
      <c r="A18" s="31" t="s">
        <v>119</v>
      </c>
      <c r="B18" s="32" t="n">
        <v>192</v>
      </c>
      <c r="C18" s="31" t="s">
        <v>120</v>
      </c>
    </row>
    <row r="19" customFormat="false" ht="15" hidden="false" customHeight="false" outlineLevel="0" collapsed="false">
      <c r="A19" s="31" t="s">
        <v>121</v>
      </c>
      <c r="B19" s="32" t="n">
        <v>960</v>
      </c>
      <c r="C19" s="31" t="s">
        <v>122</v>
      </c>
    </row>
    <row r="22" customFormat="false" ht="15" hidden="false" customHeight="false" outlineLevel="0" collapsed="false">
      <c r="A22" s="24" t="s">
        <v>123</v>
      </c>
    </row>
    <row r="23" customFormat="false" ht="15" hidden="false" customHeight="false" outlineLevel="0" collapsed="false">
      <c r="A23" s="30" t="s">
        <v>93</v>
      </c>
      <c r="B23" s="30" t="s">
        <v>94</v>
      </c>
      <c r="C23" s="30" t="s">
        <v>95</v>
      </c>
    </row>
    <row r="24" customFormat="false" ht="15" hidden="false" customHeight="false" outlineLevel="0" collapsed="false">
      <c r="A24" s="31" t="s">
        <v>124</v>
      </c>
      <c r="B24" s="32" t="n">
        <v>80</v>
      </c>
      <c r="C24" s="31" t="s">
        <v>125</v>
      </c>
    </row>
    <row r="25" customFormat="false" ht="15" hidden="false" customHeight="false" outlineLevel="0" collapsed="false">
      <c r="A25" s="31" t="s">
        <v>126</v>
      </c>
      <c r="B25" s="32" t="n">
        <v>4</v>
      </c>
      <c r="C25" s="31"/>
    </row>
    <row r="26" customFormat="false" ht="15" hidden="false" customHeight="false" outlineLevel="0" collapsed="false">
      <c r="A26" s="31" t="s">
        <v>127</v>
      </c>
      <c r="B26" s="32" t="n">
        <v>2</v>
      </c>
      <c r="C26" s="31"/>
    </row>
    <row r="27" customFormat="false" ht="15" hidden="false" customHeight="false" outlineLevel="0" collapsed="false">
      <c r="A27" s="31" t="s">
        <v>128</v>
      </c>
      <c r="B27" s="32" t="n">
        <v>6</v>
      </c>
      <c r="C27" s="31"/>
    </row>
    <row r="28" customFormat="false" ht="15" hidden="false" customHeight="false" outlineLevel="0" collapsed="false">
      <c r="A28" s="31" t="s">
        <v>129</v>
      </c>
      <c r="B28" s="32" t="n">
        <v>4</v>
      </c>
      <c r="C28" s="31"/>
    </row>
    <row r="29" customFormat="false" ht="15" hidden="false" customHeight="false" outlineLevel="0" collapsed="false">
      <c r="A29" s="31" t="s">
        <v>130</v>
      </c>
      <c r="B29" s="32" t="n">
        <v>2</v>
      </c>
      <c r="C29" s="31"/>
    </row>
    <row r="30" customFormat="false" ht="15" hidden="false" customHeight="false" outlineLevel="0" collapsed="false">
      <c r="A30" s="31" t="s">
        <v>131</v>
      </c>
      <c r="B30" s="32" t="n">
        <v>98</v>
      </c>
      <c r="C30" s="31" t="s">
        <v>116</v>
      </c>
    </row>
    <row r="31" customFormat="false" ht="15" hidden="false" customHeight="false" outlineLevel="0" collapsed="false">
      <c r="A31" s="31" t="s">
        <v>132</v>
      </c>
      <c r="B31" s="32" t="n">
        <v>3</v>
      </c>
      <c r="C31" s="31" t="s">
        <v>133</v>
      </c>
    </row>
    <row r="32" customFormat="false" ht="15" hidden="false" customHeight="false" outlineLevel="0" collapsed="false">
      <c r="A32" s="31" t="s">
        <v>134</v>
      </c>
      <c r="B32" s="32" t="n">
        <v>144</v>
      </c>
      <c r="C32" s="31" t="s">
        <v>135</v>
      </c>
    </row>
    <row r="33" customFormat="false" ht="15" hidden="false" customHeight="false" outlineLevel="0" collapsed="false">
      <c r="A33" s="31" t="s">
        <v>136</v>
      </c>
      <c r="B33" s="32" t="s">
        <v>137</v>
      </c>
      <c r="C33" s="31" t="s">
        <v>138</v>
      </c>
    </row>
    <row r="36" customFormat="false" ht="15" hidden="false" customHeight="false" outlineLevel="0" collapsed="false">
      <c r="A36" s="24" t="s">
        <v>139</v>
      </c>
    </row>
    <row r="37" customFormat="false" ht="15" hidden="false" customHeight="false" outlineLevel="0" collapsed="false">
      <c r="A37" s="30" t="s">
        <v>93</v>
      </c>
      <c r="B37" s="30" t="s">
        <v>94</v>
      </c>
      <c r="C37" s="30" t="s">
        <v>95</v>
      </c>
    </row>
    <row r="38" customFormat="false" ht="15" hidden="false" customHeight="false" outlineLevel="0" collapsed="false">
      <c r="A38" s="31" t="s">
        <v>140</v>
      </c>
      <c r="B38" s="32" t="n">
        <v>80</v>
      </c>
      <c r="C38" s="31" t="s">
        <v>141</v>
      </c>
    </row>
    <row r="39" customFormat="false" ht="15" hidden="false" customHeight="false" outlineLevel="0" collapsed="false">
      <c r="A39" s="31" t="s">
        <v>142</v>
      </c>
      <c r="B39" s="32" t="n">
        <v>2</v>
      </c>
      <c r="C39" s="31" t="s">
        <v>143</v>
      </c>
    </row>
    <row r="40" customFormat="false" ht="15" hidden="false" customHeight="false" outlineLevel="0" collapsed="false">
      <c r="A40" s="31" t="s">
        <v>144</v>
      </c>
      <c r="B40" s="32" t="n">
        <v>160</v>
      </c>
      <c r="C40" s="31" t="s">
        <v>145</v>
      </c>
    </row>
    <row r="41" customFormat="false" ht="15" hidden="false" customHeight="false" outlineLevel="0" collapsed="false">
      <c r="A41" s="31" t="s">
        <v>146</v>
      </c>
      <c r="B41" s="32" t="n">
        <v>30</v>
      </c>
      <c r="C41" s="31" t="s">
        <v>147</v>
      </c>
    </row>
    <row r="42" customFormat="false" ht="15" hidden="false" customHeight="false" outlineLevel="0" collapsed="false">
      <c r="A42" s="31" t="s">
        <v>148</v>
      </c>
      <c r="B42" s="32" t="n">
        <v>6</v>
      </c>
      <c r="C42" s="31" t="s">
        <v>149</v>
      </c>
    </row>
    <row r="43" customFormat="false" ht="15" hidden="false" customHeight="false" outlineLevel="0" collapsed="false">
      <c r="A43" s="31" t="s">
        <v>150</v>
      </c>
      <c r="B43" s="32" t="s">
        <v>151</v>
      </c>
      <c r="C43" s="31" t="s">
        <v>152</v>
      </c>
    </row>
    <row r="44" customFormat="false" ht="15" hidden="false" customHeight="false" outlineLevel="0" collapsed="false">
      <c r="A44" s="31" t="s">
        <v>153</v>
      </c>
      <c r="B44" s="32" t="s">
        <v>154</v>
      </c>
      <c r="C44" s="31" t="s">
        <v>155</v>
      </c>
    </row>
    <row r="45" customFormat="false" ht="15" hidden="false" customHeight="false" outlineLevel="0" collapsed="false">
      <c r="A45" s="31" t="s">
        <v>156</v>
      </c>
      <c r="B45" s="32" t="n">
        <v>5</v>
      </c>
      <c r="C45" s="31" t="s">
        <v>157</v>
      </c>
    </row>
    <row r="46" customFormat="false" ht="15" hidden="false" customHeight="false" outlineLevel="0" collapsed="false">
      <c r="A46" s="31" t="s">
        <v>158</v>
      </c>
      <c r="B46" s="32" t="n">
        <v>6</v>
      </c>
      <c r="C46" s="31" t="s">
        <v>159</v>
      </c>
    </row>
    <row r="47" customFormat="false" ht="15" hidden="false" customHeight="false" outlineLevel="0" collapsed="false">
      <c r="A47" s="31" t="s">
        <v>160</v>
      </c>
      <c r="B47" s="32" t="n">
        <v>30</v>
      </c>
      <c r="C47" s="31" t="s">
        <v>161</v>
      </c>
    </row>
    <row r="50" customFormat="false" ht="15" hidden="false" customHeight="false" outlineLevel="0" collapsed="false">
      <c r="A50" s="24" t="s">
        <v>162</v>
      </c>
    </row>
    <row r="51" customFormat="false" ht="15" hidden="false" customHeight="false" outlineLevel="0" collapsed="false">
      <c r="A51" s="30" t="s">
        <v>93</v>
      </c>
      <c r="B51" s="30" t="s">
        <v>94</v>
      </c>
      <c r="C51" s="30" t="s">
        <v>95</v>
      </c>
    </row>
    <row r="52" customFormat="false" ht="15" hidden="false" customHeight="false" outlineLevel="0" collapsed="false">
      <c r="A52" s="31" t="s">
        <v>163</v>
      </c>
      <c r="B52" s="32" t="s">
        <v>164</v>
      </c>
      <c r="C52" s="31" t="s">
        <v>165</v>
      </c>
    </row>
    <row r="53" customFormat="false" ht="15" hidden="false" customHeight="false" outlineLevel="0" collapsed="false">
      <c r="A53" s="31" t="s">
        <v>166</v>
      </c>
      <c r="B53" s="32" t="s">
        <v>167</v>
      </c>
      <c r="C53" s="31" t="s">
        <v>168</v>
      </c>
    </row>
    <row r="54" customFormat="false" ht="15" hidden="false" customHeight="false" outlineLevel="0" collapsed="false">
      <c r="A54" s="31" t="s">
        <v>169</v>
      </c>
      <c r="B54" s="32" t="s">
        <v>170</v>
      </c>
      <c r="C54" s="31" t="s">
        <v>171</v>
      </c>
    </row>
    <row r="55" customFormat="false" ht="15" hidden="false" customHeight="false" outlineLevel="0" collapsed="false">
      <c r="A55" s="31" t="s">
        <v>172</v>
      </c>
      <c r="B55" s="32" t="n">
        <v>26</v>
      </c>
      <c r="C55" s="31" t="s">
        <v>173</v>
      </c>
    </row>
    <row r="56" customFormat="false" ht="15" hidden="false" customHeight="false" outlineLevel="0" collapsed="false">
      <c r="A56" s="31" t="s">
        <v>174</v>
      </c>
      <c r="B56" s="32" t="n">
        <v>130</v>
      </c>
      <c r="C56" s="31" t="s">
        <v>175</v>
      </c>
    </row>
    <row r="57" customFormat="false" ht="15" hidden="false" customHeight="false" outlineLevel="0" collapsed="false">
      <c r="A57" s="31" t="s">
        <v>176</v>
      </c>
      <c r="B57" s="32" t="s">
        <v>177</v>
      </c>
      <c r="C57" s="31" t="s">
        <v>178</v>
      </c>
    </row>
    <row r="58" customFormat="false" ht="15" hidden="false" customHeight="false" outlineLevel="0" collapsed="false">
      <c r="A58" s="31" t="s">
        <v>179</v>
      </c>
      <c r="B58" s="32" t="s">
        <v>180</v>
      </c>
      <c r="C58" s="31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26"/>
  </cols>
  <sheetData>
    <row r="1" customFormat="false" ht="17.35" hidden="false" customHeight="false" outlineLevel="0" collapsed="false">
      <c r="A1" s="1" t="s">
        <v>182</v>
      </c>
    </row>
    <row r="3" customFormat="false" ht="15" hidden="false" customHeight="false" outlineLevel="0" collapsed="false">
      <c r="A3" s="33" t="s">
        <v>183</v>
      </c>
      <c r="B3" s="4" t="s">
        <v>184</v>
      </c>
      <c r="C3" s="4" t="s">
        <v>185</v>
      </c>
      <c r="D3" s="4" t="s">
        <v>186</v>
      </c>
      <c r="E3" s="4" t="s">
        <v>187</v>
      </c>
    </row>
    <row r="4" customFormat="false" ht="15" hidden="false" customHeight="false" outlineLevel="0" collapsed="false">
      <c r="A4" s="31" t="s">
        <v>188</v>
      </c>
      <c r="B4" s="32" t="s">
        <v>189</v>
      </c>
      <c r="C4" s="32" t="s">
        <v>190</v>
      </c>
      <c r="D4" s="34" t="s">
        <v>191</v>
      </c>
      <c r="E4" s="34" t="s">
        <v>192</v>
      </c>
    </row>
    <row r="5" customFormat="false" ht="15" hidden="false" customHeight="false" outlineLevel="0" collapsed="false">
      <c r="A5" s="31" t="s">
        <v>193</v>
      </c>
      <c r="B5" s="32" t="s">
        <v>194</v>
      </c>
      <c r="C5" s="32" t="s">
        <v>195</v>
      </c>
      <c r="D5" s="34" t="s">
        <v>196</v>
      </c>
      <c r="E5" s="34" t="s">
        <v>197</v>
      </c>
    </row>
    <row r="6" customFormat="false" ht="15" hidden="false" customHeight="false" outlineLevel="0" collapsed="false">
      <c r="A6" s="31" t="s">
        <v>198</v>
      </c>
      <c r="B6" s="32" t="s">
        <v>199</v>
      </c>
      <c r="C6" s="32" t="s">
        <v>199</v>
      </c>
      <c r="D6" s="34" t="s">
        <v>200</v>
      </c>
      <c r="E6" s="34" t="s">
        <v>201</v>
      </c>
    </row>
    <row r="7" customFormat="false" ht="15" hidden="false" customHeight="false" outlineLevel="0" collapsed="false">
      <c r="A7" s="31" t="s">
        <v>202</v>
      </c>
      <c r="B7" s="32" t="s">
        <v>199</v>
      </c>
      <c r="C7" s="32" t="s">
        <v>200</v>
      </c>
      <c r="D7" s="34" t="s">
        <v>200</v>
      </c>
      <c r="E7" s="34" t="s">
        <v>201</v>
      </c>
    </row>
    <row r="8" customFormat="false" ht="15" hidden="false" customHeight="false" outlineLevel="0" collapsed="false">
      <c r="A8" s="31" t="s">
        <v>203</v>
      </c>
      <c r="B8" s="32" t="s">
        <v>204</v>
      </c>
      <c r="C8" s="32" t="s">
        <v>204</v>
      </c>
      <c r="D8" s="34" t="s">
        <v>204</v>
      </c>
      <c r="E8" s="34" t="s">
        <v>205</v>
      </c>
    </row>
    <row r="9" customFormat="false" ht="15" hidden="false" customHeight="false" outlineLevel="0" collapsed="false">
      <c r="A9" s="31" t="s">
        <v>206</v>
      </c>
      <c r="B9" s="32" t="s">
        <v>207</v>
      </c>
      <c r="C9" s="32" t="s">
        <v>208</v>
      </c>
      <c r="D9" s="34" t="s">
        <v>209</v>
      </c>
      <c r="E9" s="34" t="s">
        <v>210</v>
      </c>
    </row>
    <row r="10" customFormat="false" ht="15" hidden="false" customHeight="false" outlineLevel="0" collapsed="false">
      <c r="A10" s="31" t="s">
        <v>211</v>
      </c>
      <c r="B10" s="32" t="s">
        <v>212</v>
      </c>
      <c r="C10" s="32" t="s">
        <v>213</v>
      </c>
      <c r="D10" s="34" t="s">
        <v>214</v>
      </c>
      <c r="E10" s="34" t="s">
        <v>215</v>
      </c>
    </row>
    <row r="11" customFormat="false" ht="15" hidden="false" customHeight="false" outlineLevel="0" collapsed="false">
      <c r="A11" s="31" t="s">
        <v>216</v>
      </c>
      <c r="B11" s="32" t="s">
        <v>212</v>
      </c>
      <c r="C11" s="32" t="s">
        <v>213</v>
      </c>
      <c r="D11" s="34" t="s">
        <v>217</v>
      </c>
      <c r="E11" s="34" t="s">
        <v>215</v>
      </c>
    </row>
    <row r="12" customFormat="false" ht="15" hidden="false" customHeight="false" outlineLevel="0" collapsed="false">
      <c r="A12" s="31" t="s">
        <v>218</v>
      </c>
      <c r="B12" s="32" t="s">
        <v>219</v>
      </c>
      <c r="C12" s="32" t="s">
        <v>220</v>
      </c>
      <c r="D12" s="34" t="s">
        <v>221</v>
      </c>
      <c r="E12" s="34" t="s">
        <v>222</v>
      </c>
    </row>
    <row r="13" customFormat="false" ht="15" hidden="false" customHeight="false" outlineLevel="0" collapsed="false">
      <c r="A13" s="31" t="s">
        <v>223</v>
      </c>
      <c r="B13" s="32" t="s">
        <v>224</v>
      </c>
      <c r="C13" s="32" t="s">
        <v>225</v>
      </c>
      <c r="D13" s="34" t="s">
        <v>226</v>
      </c>
      <c r="E13" s="34" t="s">
        <v>227</v>
      </c>
    </row>
    <row r="14" customFormat="false" ht="15" hidden="false" customHeight="false" outlineLevel="0" collapsed="false">
      <c r="A14" s="31" t="s">
        <v>228</v>
      </c>
      <c r="B14" s="32" t="s">
        <v>229</v>
      </c>
      <c r="C14" s="32" t="s">
        <v>229</v>
      </c>
      <c r="D14" s="34" t="s">
        <v>230</v>
      </c>
      <c r="E14" s="34" t="s">
        <v>231</v>
      </c>
    </row>
    <row r="17" customFormat="false" ht="15" hidden="false" customHeight="false" outlineLevel="0" collapsed="false">
      <c r="A17" s="24" t="s">
        <v>232</v>
      </c>
    </row>
    <row r="18" customFormat="false" ht="15" hidden="false" customHeight="false" outlineLevel="0" collapsed="false">
      <c r="A18" s="35" t="s">
        <v>233</v>
      </c>
      <c r="B18" s="35" t="s">
        <v>234</v>
      </c>
      <c r="C18" s="35" t="s">
        <v>235</v>
      </c>
      <c r="D18" s="35" t="s">
        <v>236</v>
      </c>
    </row>
    <row r="19" customFormat="false" ht="15" hidden="false" customHeight="false" outlineLevel="0" collapsed="false">
      <c r="A19" s="36" t="s">
        <v>237</v>
      </c>
      <c r="B19" s="37" t="n">
        <v>23987600</v>
      </c>
      <c r="C19" s="37" t="n">
        <v>16249870</v>
      </c>
      <c r="D19" s="38" t="n">
        <f aca="false">B19-C19</f>
        <v>7737730</v>
      </c>
    </row>
    <row r="20" customFormat="false" ht="15" hidden="false" customHeight="false" outlineLevel="0" collapsed="false">
      <c r="A20" s="36" t="s">
        <v>238</v>
      </c>
      <c r="B20" s="37" t="n">
        <v>4978560</v>
      </c>
      <c r="C20" s="37" t="n">
        <v>2784000</v>
      </c>
      <c r="D20" s="38" t="n">
        <f aca="false">B20-C20</f>
        <v>2194560</v>
      </c>
    </row>
    <row r="21" customFormat="false" ht="15" hidden="false" customHeight="false" outlineLevel="0" collapsed="false">
      <c r="A21" s="36" t="s">
        <v>239</v>
      </c>
      <c r="B21" s="37" t="n">
        <v>351600</v>
      </c>
      <c r="C21" s="37" t="n">
        <v>619380</v>
      </c>
      <c r="D21" s="38" t="n">
        <f aca="false">B21-C21</f>
        <v>-267780</v>
      </c>
    </row>
    <row r="22" customFormat="false" ht="15" hidden="false" customHeight="false" outlineLevel="0" collapsed="false">
      <c r="A22" s="36" t="s">
        <v>240</v>
      </c>
      <c r="B22" s="37" t="n">
        <v>5320000</v>
      </c>
      <c r="C22" s="37" t="n">
        <v>3784000</v>
      </c>
      <c r="D22" s="38" t="n">
        <f aca="false">B22-C22</f>
        <v>1536000</v>
      </c>
    </row>
    <row r="23" customFormat="false" ht="15" hidden="false" customHeight="false" outlineLevel="0" collapsed="false">
      <c r="A23" s="5" t="s">
        <v>241</v>
      </c>
      <c r="B23" s="39" t="n">
        <f aca="false">SUM(B19:B22)</f>
        <v>34637760</v>
      </c>
      <c r="C23" s="39" t="n">
        <f aca="false">SUM(C19:C22)</f>
        <v>23437250</v>
      </c>
      <c r="D23" s="39" t="n">
        <f aca="false">SUM(D19:D22)</f>
        <v>11200510</v>
      </c>
    </row>
    <row r="25" customFormat="false" ht="15" hidden="false" customHeight="true" outlineLevel="0" collapsed="false">
      <c r="A25" s="40" t="s">
        <v>242</v>
      </c>
      <c r="B25" s="40"/>
      <c r="C25" s="40"/>
      <c r="D25" s="40"/>
    </row>
    <row r="26" customFormat="false" ht="15" hidden="false" customHeight="false" outlineLevel="0" collapsed="false">
      <c r="A26" s="40"/>
      <c r="B26" s="40"/>
      <c r="C26" s="40"/>
      <c r="D26" s="40"/>
    </row>
    <row r="27" customFormat="false" ht="15" hidden="false" customHeight="false" outlineLevel="0" collapsed="false">
      <c r="A27" s="40"/>
      <c r="B27" s="40"/>
      <c r="C27" s="40"/>
      <c r="D27" s="40"/>
    </row>
  </sheetData>
  <mergeCells count="1">
    <mergeCell ref="A25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2026-09-10T01:08:38Z</dcterms:created>
  <dc:creator>openpyxl</dc:creator>
  <dc:description/>
  <dc:language>en-US</dc:language>
  <cp:lastModifiedBy/>
  <dcterms:modified xsi:type="dcterms:W3CDTF">2026-09-10T01:08:38Z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